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EDW\Documents\Poly\FRE6831 Python Spring 2019\Yield Curve Code\"/>
    </mc:Choice>
  </mc:AlternateContent>
  <xr:revisionPtr revIDLastSave="0" documentId="13_ncr:1_{E4E82F05-EF3C-458F-8FC0-EF6E0F18854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iscount Curve" sheetId="6" r:id="rId1"/>
    <sheet name="depoRates" sheetId="10" r:id="rId2"/>
    <sheet name="Futures" sheetId="2" r:id="rId3"/>
    <sheet name="Outputs" sheetId="8" r:id="rId4"/>
    <sheet name="Sheet1" sheetId="9" r:id="rId5"/>
  </sheets>
  <functionGroups builtInGroupCount="19"/>
  <externalReferences>
    <externalReference r:id="rId6"/>
  </externalReferences>
  <definedNames>
    <definedName name="DiscountFactors">'Discount Curve'!$B$4:$D$17</definedName>
    <definedName name="FixedRate">#REF!</definedName>
    <definedName name="Notional">#REF!</definedName>
    <definedName name="Spot">'Discount Curve'!$B$1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" i="2" l="1"/>
  <c r="A10" i="2"/>
  <c r="A8" i="2"/>
  <c r="B4" i="8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C3" i="2"/>
  <c r="B3" i="2"/>
  <c r="C6" i="6"/>
  <c r="C4" i="6"/>
  <c r="B6" i="6"/>
  <c r="D4" i="6"/>
  <c r="E4" i="6"/>
  <c r="D6" i="6"/>
  <c r="E6" i="6"/>
  <c r="C12" i="6"/>
  <c r="C11" i="6"/>
  <c r="C10" i="6"/>
  <c r="C9" i="6"/>
  <c r="C8" i="6"/>
  <c r="C7" i="6"/>
  <c r="C5" i="6"/>
  <c r="A4" i="2"/>
  <c r="A5" i="2"/>
  <c r="A6" i="2"/>
  <c r="A7" i="2"/>
  <c r="A9" i="2"/>
  <c r="A12" i="2"/>
  <c r="B8" i="6"/>
  <c r="B12" i="6"/>
  <c r="B9" i="6"/>
  <c r="B7" i="6"/>
  <c r="B11" i="6"/>
  <c r="D5" i="6"/>
  <c r="B10" i="6"/>
  <c r="A13" i="2"/>
  <c r="D7" i="6"/>
  <c r="D8" i="6"/>
  <c r="D9" i="6"/>
  <c r="D10" i="6"/>
  <c r="D11" i="6"/>
  <c r="D12" i="6"/>
  <c r="E7" i="6"/>
  <c r="A14" i="2"/>
  <c r="A15" i="2"/>
  <c r="A16" i="2"/>
  <c r="A17" i="2"/>
  <c r="E8" i="6"/>
  <c r="B3" i="8"/>
  <c r="E9" i="6"/>
  <c r="C3" i="8"/>
  <c r="E10" i="6"/>
  <c r="E11" i="6"/>
  <c r="E12" i="6"/>
</calcChain>
</file>

<file path=xl/sharedStrings.xml><?xml version="1.0" encoding="utf-8"?>
<sst xmlns="http://schemas.openxmlformats.org/spreadsheetml/2006/main" count="31" uniqueCount="31">
  <si>
    <t>Month</t>
  </si>
  <si>
    <t>Settle</t>
  </si>
  <si>
    <t>Spot Date</t>
  </si>
  <si>
    <t>Tenor</t>
  </si>
  <si>
    <t>Expiry</t>
  </si>
  <si>
    <t>(Implied) Rate</t>
  </si>
  <si>
    <t>DF TO DATE</t>
  </si>
  <si>
    <t>Spot/1M</t>
  </si>
  <si>
    <t>Spot/2M</t>
  </si>
  <si>
    <t>USD1M</t>
  </si>
  <si>
    <t>USD2M</t>
  </si>
  <si>
    <t>LN(DF)</t>
  </si>
  <si>
    <t>TICKER</t>
  </si>
  <si>
    <t>EDH8</t>
  </si>
  <si>
    <t>EDM8</t>
  </si>
  <si>
    <t>EDU8</t>
  </si>
  <si>
    <t>EDZ8</t>
  </si>
  <si>
    <t>Date</t>
  </si>
  <si>
    <t>DF</t>
  </si>
  <si>
    <t>Fwd Rate</t>
  </si>
  <si>
    <t>June 19 Futures Expiry</t>
  </si>
  <si>
    <t>September 19 Futures Expiry</t>
  </si>
  <si>
    <t>December 19 Futures Expiry</t>
  </si>
  <si>
    <t>USD3M</t>
  </si>
  <si>
    <t>USD2W</t>
  </si>
  <si>
    <t>USD1W</t>
  </si>
  <si>
    <t>EDH9</t>
  </si>
  <si>
    <t>March 20 Futures Expiry</t>
  </si>
  <si>
    <t>June 20 Futures Expiry</t>
  </si>
  <si>
    <t>September 20 Futures Expiry</t>
  </si>
  <si>
    <t>December 20 Futures 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</si>
</sst>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00000000"/>
    <numFmt numFmtId="166" formatCode="0.0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" fillId="3" borderId="1" xfId="0" applyFont="1" applyFill="1" applyBorder="1"/>
    <xf numFmtId="14" fontId="0" fillId="4" borderId="1" xfId="0" applyNumberFormat="1" applyFill="1" applyBorder="1"/>
    <xf numFmtId="1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4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165" fontId="0" fillId="5" borderId="0" xfId="0" applyNumberFormat="1" applyFill="1"/>
    <xf numFmtId="0" fontId="1" fillId="0" borderId="0" xfId="0" applyFont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165" fontId="0" fillId="7" borderId="0" xfId="0" applyNumberFormat="1" applyFill="1"/>
    <xf numFmtId="14" fontId="0" fillId="8" borderId="1" xfId="0" applyNumberFormat="1" applyFill="1" applyBorder="1" applyAlignment="1">
      <alignment vertical="center" wrapText="1"/>
    </xf>
    <xf numFmtId="166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/Documents/Poly/FRE6831%20(Python)/Projects/Wang%20Yuchen/futuresPrices.tx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turesPrices"/>
    </sheetNames>
    <sheetDataSet>
      <sheetData sheetId="0">
        <row r="1">
          <cell r="A1" t="str">
            <v>EDM9</v>
          </cell>
          <cell r="B1">
            <v>99.564999999999998</v>
          </cell>
        </row>
        <row r="2">
          <cell r="A2" t="str">
            <v>EDU9</v>
          </cell>
          <cell r="B2">
            <v>99.41</v>
          </cell>
        </row>
        <row r="3">
          <cell r="A3" t="str">
            <v>EDZ9</v>
          </cell>
          <cell r="B3">
            <v>99.23</v>
          </cell>
        </row>
        <row r="4">
          <cell r="A4" t="str">
            <v>EDH0</v>
          </cell>
          <cell r="B4">
            <v>99.04</v>
          </cell>
        </row>
        <row r="5">
          <cell r="A5" t="str">
            <v>EDM0</v>
          </cell>
          <cell r="B5">
            <v>98.84</v>
          </cell>
        </row>
        <row r="6">
          <cell r="A6" t="str">
            <v>EDU0</v>
          </cell>
          <cell r="B6">
            <v>98.64</v>
          </cell>
        </row>
        <row r="7">
          <cell r="A7" t="str">
            <v>EDZ0</v>
          </cell>
          <cell r="B7">
            <v>98.18</v>
          </cell>
        </row>
        <row r="8">
          <cell r="A8" t="str">
            <v>EDH1</v>
          </cell>
          <cell r="B8">
            <v>98.02</v>
          </cell>
        </row>
        <row r="9">
          <cell r="A9" t="str">
            <v>EDM1</v>
          </cell>
          <cell r="B9">
            <v>97.87</v>
          </cell>
        </row>
        <row r="10">
          <cell r="A10" t="str">
            <v>EDU1</v>
          </cell>
          <cell r="B10">
            <v>97.75</v>
          </cell>
        </row>
        <row r="11">
          <cell r="A11" t="str">
            <v>EDZ1</v>
          </cell>
          <cell r="B11">
            <v>97.635000000000005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zoomScale="106" zoomScaleNormal="106" workbookViewId="0">
      <selection activeCell="A13" sqref="A13"/>
    </sheetView>
  </sheetViews>
  <sheetFormatPr defaultRowHeight="15" x14ac:dyDescent="0.25"/>
  <cols>
    <col min="1" max="1" width="28" customWidth="1"/>
    <col min="2" max="2" width="11.28515625" customWidth="1"/>
    <col min="3" max="3" width="13.140625" customWidth="1"/>
    <col min="4" max="4" width="14.28515625" customWidth="1"/>
  </cols>
  <sheetData>
    <row r="1" spans="1:5" x14ac:dyDescent="0.25">
      <c r="A1" s="4" t="s">
        <v>2</v>
      </c>
      <c r="B1" s="5">
        <v>43580</v>
      </c>
    </row>
    <row r="3" spans="1:5" x14ac:dyDescent="0.25">
      <c r="A3" s="7" t="s">
        <v>3</v>
      </c>
      <c r="B3" s="7" t="s">
        <v>4</v>
      </c>
      <c r="C3" s="7" t="s">
        <v>5</v>
      </c>
      <c r="D3" s="7" t="s">
        <v>6</v>
      </c>
      <c r="E3" s="13" t="s">
        <v>11</v>
      </c>
    </row>
    <row r="4" spans="1:5" x14ac:dyDescent="0.25">
      <c r="A4" s="4" t="s">
        <v>7</v>
      </c>
      <c r="B4" s="6">
        <v>43613</v>
      </c>
      <c r="C4" s="14">
        <f>depoRates!B3/100</f>
        <v>1.7799999999999999E-3</v>
      </c>
      <c r="D4" s="17">
        <f>1/(1+C4*(B4-Spot)/360)</f>
        <v>0.99983685995235116</v>
      </c>
      <c r="E4">
        <f>LN(D4)</f>
        <v>-1.6315335643389239E-4</v>
      </c>
    </row>
    <row r="5" spans="1:5" x14ac:dyDescent="0.25">
      <c r="A5" s="4" t="s">
        <v>20</v>
      </c>
      <c r="B5" s="6">
        <v>43635</v>
      </c>
      <c r="C5" s="8">
        <f>1-Futures!C3/100</f>
        <v>4.350000000000076E-3</v>
      </c>
      <c r="D5" s="12">
        <f>EXP(E4+(E6-E4)*(B5-B4)/(B6-B4))</f>
        <v>0.99966812576891229</v>
      </c>
      <c r="E5" s="15"/>
    </row>
    <row r="6" spans="1:5" x14ac:dyDescent="0.25">
      <c r="A6" s="4" t="s">
        <v>8</v>
      </c>
      <c r="B6" s="6">
        <f>DATE(YEAR(Spot),MONTH(Spot)+2,DAY(Spot))</f>
        <v>43641</v>
      </c>
      <c r="C6" s="14">
        <f>depoRates!B4/100</f>
        <v>2.2309999999999999E-3</v>
      </c>
      <c r="D6" s="17">
        <f>1/(1+C6*(B6-Spot)/360)</f>
        <v>0.9996221122975425</v>
      </c>
      <c r="E6">
        <f t="shared" ref="E6:E12" si="0">LN(D6)</f>
        <v>-3.7795912000777924E-4</v>
      </c>
    </row>
    <row r="7" spans="1:5" x14ac:dyDescent="0.25">
      <c r="A7" s="4" t="s">
        <v>21</v>
      </c>
      <c r="B7" s="6">
        <f>Futures!A4</f>
        <v>43726</v>
      </c>
      <c r="C7" s="8">
        <f>1-Futures!C4/100</f>
        <v>5.9000000000000163E-3</v>
      </c>
      <c r="D7" s="9">
        <f>D5/(1+C5*(B7-B5)/360)</f>
        <v>0.99857011471360846</v>
      </c>
      <c r="E7">
        <f t="shared" si="0"/>
        <v>-1.4309085479050339E-3</v>
      </c>
    </row>
    <row r="8" spans="1:5" x14ac:dyDescent="0.25">
      <c r="A8" s="4" t="s">
        <v>22</v>
      </c>
      <c r="B8" s="6">
        <f>Futures!A5</f>
        <v>43817</v>
      </c>
      <c r="C8" s="8">
        <f>1-Futures!C5/100</f>
        <v>7.6999999999999291E-3</v>
      </c>
      <c r="D8" s="9">
        <f t="shared" ref="D8:D12" si="1">D7/(1+C7*(B8-B7)/360)</f>
        <v>0.9970830760926247</v>
      </c>
      <c r="E8">
        <f t="shared" si="0"/>
        <v>-2.9211864208857135E-3</v>
      </c>
    </row>
    <row r="9" spans="1:5" x14ac:dyDescent="0.25">
      <c r="A9" s="4" t="s">
        <v>27</v>
      </c>
      <c r="B9" s="6">
        <f>Futures!A6</f>
        <v>43908</v>
      </c>
      <c r="C9" s="8">
        <f>1-Futures!C6/100</f>
        <v>9.5999999999999419E-3</v>
      </c>
      <c r="D9" s="9">
        <f t="shared" si="1"/>
        <v>0.99514613471319824</v>
      </c>
      <c r="E9">
        <f t="shared" si="0"/>
        <v>-4.865683549257864E-3</v>
      </c>
    </row>
    <row r="10" spans="1:5" x14ac:dyDescent="0.25">
      <c r="A10" s="4" t="s">
        <v>28</v>
      </c>
      <c r="B10" s="6">
        <f>Futures!A7</f>
        <v>43999</v>
      </c>
      <c r="C10" s="8">
        <f>1-Futures!C7/100</f>
        <v>1.1599999999999944E-2</v>
      </c>
      <c r="D10" s="9">
        <f t="shared" si="1"/>
        <v>0.99273709270157584</v>
      </c>
      <c r="E10">
        <f t="shared" si="0"/>
        <v>-7.289410615029435E-3</v>
      </c>
    </row>
    <row r="11" spans="1:5" x14ac:dyDescent="0.25">
      <c r="A11" s="4" t="s">
        <v>29</v>
      </c>
      <c r="B11" s="6">
        <f>Futures!A8</f>
        <v>44090</v>
      </c>
      <c r="C11" s="8">
        <f>1-Futures!C8/100</f>
        <v>1.3599999999999945E-2</v>
      </c>
      <c r="D11" s="9">
        <f t="shared" si="1"/>
        <v>0.9898346774639899</v>
      </c>
      <c r="E11">
        <f t="shared" si="0"/>
        <v>-1.0217342258911129E-2</v>
      </c>
    </row>
    <row r="12" spans="1:5" x14ac:dyDescent="0.25">
      <c r="A12" s="4" t="s">
        <v>30</v>
      </c>
      <c r="B12" s="6">
        <f>Futures!A9</f>
        <v>44181</v>
      </c>
      <c r="C12" s="8">
        <f>1-Futures!C9/100</f>
        <v>1.8199999999999883E-2</v>
      </c>
      <c r="D12" s="9">
        <f t="shared" si="1"/>
        <v>0.98644350390722435</v>
      </c>
      <c r="E12">
        <f t="shared" si="0"/>
        <v>-1.3649224386756633E-2</v>
      </c>
    </row>
    <row r="13" spans="1:5" x14ac:dyDescent="0.25">
      <c r="A13" s="4"/>
      <c r="B13" s="6"/>
      <c r="C13" s="8"/>
      <c r="D13" s="9"/>
    </row>
    <row r="14" spans="1:5" x14ac:dyDescent="0.25">
      <c r="A14" s="4"/>
      <c r="B14" s="6"/>
      <c r="C14" s="8"/>
      <c r="D14" s="9"/>
    </row>
    <row r="15" spans="1:5" x14ac:dyDescent="0.25">
      <c r="A15" s="4"/>
      <c r="B15" s="6"/>
      <c r="C15" s="8"/>
      <c r="D15" s="9"/>
    </row>
    <row r="16" spans="1:5" x14ac:dyDescent="0.25">
      <c r="A16" s="4"/>
      <c r="B16" s="6"/>
      <c r="C16" s="8"/>
      <c r="D16" s="9"/>
    </row>
    <row r="17" spans="1:4" x14ac:dyDescent="0.25">
      <c r="A17" s="4"/>
      <c r="B17" s="6"/>
      <c r="C17" s="16"/>
      <c r="D17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4C83-7B99-4B37-933E-6F11391F5046}">
  <dimension ref="A1:B5"/>
  <sheetViews>
    <sheetView workbookViewId="0"/>
  </sheetViews>
  <sheetFormatPr defaultRowHeight="15" x14ac:dyDescent="0.25"/>
  <sheetData>
    <row r="1" spans="1:2" x14ac:dyDescent="0.25">
      <c r="A1" t="s">
        <v>25</v>
      </c>
      <c r="B1">
        <v>0.15279999999999999</v>
      </c>
    </row>
    <row r="2" spans="1:2" x14ac:dyDescent="0.25">
      <c r="A2" t="s">
        <v>24</v>
      </c>
      <c r="B2">
        <v>0.16700000000000001</v>
      </c>
    </row>
    <row r="3" spans="1:2" x14ac:dyDescent="0.25">
      <c r="A3" t="s">
        <v>9</v>
      </c>
      <c r="B3">
        <v>0.17799999999999999</v>
      </c>
    </row>
    <row r="4" spans="1:2" x14ac:dyDescent="0.25">
      <c r="A4" t="s">
        <v>10</v>
      </c>
      <c r="B4">
        <v>0.22309999999999999</v>
      </c>
    </row>
    <row r="5" spans="1:2" x14ac:dyDescent="0.25">
      <c r="A5" t="s">
        <v>23</v>
      </c>
      <c r="B5">
        <v>0.2331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selection activeCell="A12" sqref="A12"/>
    </sheetView>
  </sheetViews>
  <sheetFormatPr defaultRowHeight="15" x14ac:dyDescent="0.25"/>
  <cols>
    <col min="1" max="2" width="12.28515625" customWidth="1"/>
  </cols>
  <sheetData>
    <row r="1" spans="1:3" x14ac:dyDescent="0.25">
      <c r="A1" s="1" t="s">
        <v>0</v>
      </c>
      <c r="B1" s="1" t="s">
        <v>12</v>
      </c>
      <c r="C1" s="1" t="s">
        <v>1</v>
      </c>
    </row>
    <row r="2" spans="1:3" x14ac:dyDescent="0.25">
      <c r="A2" s="2">
        <v>42081</v>
      </c>
      <c r="B2" s="2" t="s">
        <v>26</v>
      </c>
      <c r="C2" s="11"/>
    </row>
    <row r="3" spans="1:3" x14ac:dyDescent="0.25">
      <c r="A3" s="2">
        <v>43635</v>
      </c>
      <c r="B3" s="2" t="str">
        <f>[1]futuresPrices!A1</f>
        <v>EDM9</v>
      </c>
      <c r="C3" s="3">
        <f>[1]futuresPrices!B1</f>
        <v>99.564999999999998</v>
      </c>
    </row>
    <row r="4" spans="1:3" x14ac:dyDescent="0.25">
      <c r="A4" s="2">
        <f t="shared" ref="A4:A17" si="0">A3+91</f>
        <v>43726</v>
      </c>
      <c r="B4" s="2" t="str">
        <f>[1]futuresPrices!A2</f>
        <v>EDU9</v>
      </c>
      <c r="C4" s="3">
        <f>[1]futuresPrices!B2</f>
        <v>99.41</v>
      </c>
    </row>
    <row r="5" spans="1:3" x14ac:dyDescent="0.25">
      <c r="A5" s="2">
        <f t="shared" si="0"/>
        <v>43817</v>
      </c>
      <c r="B5" s="2" t="str">
        <f>[1]futuresPrices!A3</f>
        <v>EDZ9</v>
      </c>
      <c r="C5" s="3">
        <f>[1]futuresPrices!B3</f>
        <v>99.23</v>
      </c>
    </row>
    <row r="6" spans="1:3" x14ac:dyDescent="0.25">
      <c r="A6" s="2">
        <f t="shared" si="0"/>
        <v>43908</v>
      </c>
      <c r="B6" s="2" t="str">
        <f>[1]futuresPrices!A4</f>
        <v>EDH0</v>
      </c>
      <c r="C6" s="3">
        <f>[1]futuresPrices!B4</f>
        <v>99.04</v>
      </c>
    </row>
    <row r="7" spans="1:3" x14ac:dyDescent="0.25">
      <c r="A7" s="2">
        <f t="shared" si="0"/>
        <v>43999</v>
      </c>
      <c r="B7" s="2" t="str">
        <f>[1]futuresPrices!A5</f>
        <v>EDM0</v>
      </c>
      <c r="C7" s="3">
        <f>[1]futuresPrices!B5</f>
        <v>98.84</v>
      </c>
    </row>
    <row r="8" spans="1:3" x14ac:dyDescent="0.25">
      <c r="A8" s="2">
        <f>A7+91</f>
        <v>44090</v>
      </c>
      <c r="B8" s="2" t="str">
        <f>[1]futuresPrices!A6</f>
        <v>EDU0</v>
      </c>
      <c r="C8" s="3">
        <f>[1]futuresPrices!B6</f>
        <v>98.64</v>
      </c>
    </row>
    <row r="9" spans="1:3" x14ac:dyDescent="0.25">
      <c r="A9" s="2">
        <f t="shared" si="0"/>
        <v>44181</v>
      </c>
      <c r="B9" s="2" t="str">
        <f>[1]futuresPrices!A7</f>
        <v>EDZ0</v>
      </c>
      <c r="C9" s="3">
        <f>[1]futuresPrices!B7</f>
        <v>98.18</v>
      </c>
    </row>
    <row r="10" spans="1:3" x14ac:dyDescent="0.25">
      <c r="A10" s="2">
        <f>A9+91</f>
        <v>44272</v>
      </c>
      <c r="B10" s="2" t="str">
        <f>[1]futuresPrices!A8</f>
        <v>EDH1</v>
      </c>
      <c r="C10" s="3">
        <f>[1]futuresPrices!B8</f>
        <v>98.02</v>
      </c>
    </row>
    <row r="11" spans="1:3" x14ac:dyDescent="0.25">
      <c r="A11" s="2">
        <f>A10+91</f>
        <v>44363</v>
      </c>
      <c r="B11" s="2" t="str">
        <f>[1]futuresPrices!A9</f>
        <v>EDM1</v>
      </c>
      <c r="C11" s="3">
        <f>[1]futuresPrices!B9</f>
        <v>97.87</v>
      </c>
    </row>
    <row r="12" spans="1:3" x14ac:dyDescent="0.25">
      <c r="A12" s="2">
        <f t="shared" si="0"/>
        <v>44454</v>
      </c>
      <c r="B12" s="2" t="str">
        <f>[1]futuresPrices!A10</f>
        <v>EDU1</v>
      </c>
      <c r="C12" s="3">
        <f>[1]futuresPrices!B10</f>
        <v>97.75</v>
      </c>
    </row>
    <row r="13" spans="1:3" x14ac:dyDescent="0.25">
      <c r="A13" s="2">
        <f t="shared" si="0"/>
        <v>44545</v>
      </c>
      <c r="B13" s="2" t="str">
        <f>[1]futuresPrices!A11</f>
        <v>EDZ1</v>
      </c>
      <c r="C13" s="3">
        <f>[1]futuresPrices!B11</f>
        <v>97.635000000000005</v>
      </c>
    </row>
    <row r="14" spans="1:3" x14ac:dyDescent="0.25">
      <c r="A14" s="10">
        <f t="shared" si="0"/>
        <v>44636</v>
      </c>
      <c r="B14" s="18" t="s">
        <v>13</v>
      </c>
      <c r="C14" s="11">
        <v>97.66</v>
      </c>
    </row>
    <row r="15" spans="1:3" x14ac:dyDescent="0.25">
      <c r="A15" s="10">
        <f t="shared" si="0"/>
        <v>44727</v>
      </c>
      <c r="B15" s="18" t="s">
        <v>14</v>
      </c>
      <c r="C15" s="11">
        <v>97.584999999999994</v>
      </c>
    </row>
    <row r="16" spans="1:3" x14ac:dyDescent="0.25">
      <c r="A16" s="10">
        <f t="shared" si="0"/>
        <v>44818</v>
      </c>
      <c r="B16" s="18" t="s">
        <v>15</v>
      </c>
      <c r="C16" s="11">
        <v>97.52</v>
      </c>
    </row>
    <row r="17" spans="1:3" x14ac:dyDescent="0.25">
      <c r="A17" s="10">
        <f t="shared" si="0"/>
        <v>44909</v>
      </c>
      <c r="B17" s="18" t="s">
        <v>16</v>
      </c>
      <c r="C17" s="11">
        <v>97.454999999999998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B34C-E99A-4C72-99B3-E28D7783C9A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22.5703125" customWidth="1"/>
    <col min="2" max="2" width="16.140625" customWidth="1"/>
    <col min="3" max="3" width="17" customWidth="1"/>
  </cols>
  <sheetData>
    <row r="1" spans="1:3" x14ac:dyDescent="0.25">
      <c r="A1" t="s">
        <v>17</v>
      </c>
      <c r="B1" t="s">
        <v>18</v>
      </c>
      <c r="C1" t="s">
        <v>19</v>
      </c>
    </row>
    <row r="3" spans="1:3" x14ac:dyDescent="0.25">
      <c r="A3" s="6">
        <v>43801</v>
      </c>
      <c r="B3">
        <f>interpDF(A3,'Discount Curve'!B7,'Discount Curve'!B8,'Discount Curve'!E7,'Discount Curve'!E8)</f>
        <v>0.99734437289082067</v>
      </c>
      <c r="C3" s="19">
        <f>360*(B3/B4-1)/(A4-A3)</f>
        <v>7.2407412843298958E-3</v>
      </c>
    </row>
    <row r="4" spans="1:3" x14ac:dyDescent="0.25">
      <c r="A4" s="6">
        <v>43864</v>
      </c>
      <c r="B4">
        <f>interpDF(A4,'Discount Curve'!B8,'Discount Curve'!B9,'Discount Curve'!E8,'Discount Curve'!E9)</f>
        <v>0.99608220751737309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671FF-3D47-4792-8881-4440BBF0065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Discount Curve</vt:lpstr>
      <vt:lpstr>depoRates</vt:lpstr>
      <vt:lpstr>Futures</vt:lpstr>
      <vt:lpstr>Outputs</vt:lpstr>
      <vt:lpstr>Sheet1</vt:lpstr>
      <vt:lpstr>DiscountFactors</vt:lpstr>
      <vt:lpstr>Spot</vt:lpstr>
    </vt:vector>
  </TitlesOfParts>
  <Company>Clark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Weinberger</dc:creator>
  <cp:lastModifiedBy>EDW</cp:lastModifiedBy>
  <dcterms:created xsi:type="dcterms:W3CDTF">2015-03-12T04:19:33Z</dcterms:created>
  <dcterms:modified xsi:type="dcterms:W3CDTF">2019-12-17T02:06:45Z</dcterms:modified>
</cp:coreProperties>
</file>